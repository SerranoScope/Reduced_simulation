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Simulation_Bases/Main_2/"/>
    </mc:Choice>
  </mc:AlternateContent>
  <xr:revisionPtr revIDLastSave="7" documentId="8_{AA6C4E47-BC6B-4008-8516-FB2BFF3D0858}" xr6:coauthVersionLast="47" xr6:coauthVersionMax="47" xr10:uidLastSave="{19EB2AED-6533-473A-9510-CCEBB1EF4B09}"/>
  <bookViews>
    <workbookView xWindow="-90" yWindow="0" windowWidth="9780" windowHeight="11370" firstSheet="4" activeTab="6" xr2:uid="{59BAF0EA-3768-437A-B1A6-3BA5D9827F5C}"/>
  </bookViews>
  <sheets>
    <sheet name="Sheet_1" sheetId="1" r:id="rId1"/>
    <sheet name="Sheet_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" l="1"/>
  <c r="F4" i="3"/>
  <c r="E4" i="3"/>
  <c r="D4" i="3"/>
  <c r="C4" i="3"/>
  <c r="B4" i="3"/>
</calcChain>
</file>

<file path=xl/sharedStrings.xml><?xml version="1.0" encoding="utf-8"?>
<sst xmlns="http://schemas.openxmlformats.org/spreadsheetml/2006/main" count="46" uniqueCount="31">
  <si>
    <t>N1</t>
  </si>
  <si>
    <t>N2</t>
  </si>
  <si>
    <t>N3</t>
  </si>
  <si>
    <t>N4</t>
  </si>
  <si>
    <t>N5</t>
  </si>
  <si>
    <t>N6</t>
  </si>
  <si>
    <t>Pipe_1</t>
  </si>
  <si>
    <t>Pipe_2</t>
  </si>
  <si>
    <t>Pipe_3</t>
  </si>
  <si>
    <t>Pipe_4</t>
  </si>
  <si>
    <t>Pipe_5</t>
  </si>
  <si>
    <t xml:space="preserve">Type </t>
  </si>
  <si>
    <t>Plant</t>
  </si>
  <si>
    <t>Storage</t>
  </si>
  <si>
    <t>Node</t>
  </si>
  <si>
    <t>Consumer</t>
  </si>
  <si>
    <t>Length</t>
  </si>
  <si>
    <t>inner_diameter</t>
  </si>
  <si>
    <t>u_w_per_m2k</t>
  </si>
  <si>
    <t>k_mm</t>
  </si>
  <si>
    <t>Vtot</t>
  </si>
  <si>
    <t>T_hot_init</t>
  </si>
  <si>
    <t>T_cold_init</t>
  </si>
  <si>
    <t>v_hot_fraction</t>
  </si>
  <si>
    <t>UA_loss</t>
  </si>
  <si>
    <t>UA_interface</t>
  </si>
  <si>
    <t>Fuel_type</t>
  </si>
  <si>
    <t>gas</t>
  </si>
  <si>
    <t>Nominal_efficiency</t>
  </si>
  <si>
    <t>Emission_factor</t>
  </si>
  <si>
    <t>cost_constant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</si>
</sst>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8C6B-A05C-4986-B003-1EBC2485ED7B}">
  <dimension ref="A1:F7"/>
  <sheetViews>
    <sheetView workbookViewId="0">
      <selection activeCell="C37" sqref="C37"/>
    </sheetView>
  </sheetViews>
  <sheetFormatPr baseColWidth="10" defaultRowHeight="14.5" x14ac:dyDescent="0.35"/>
  <sheetData>
    <row r="1" spans="1:6" x14ac:dyDescent="0.35"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0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1</v>
      </c>
      <c r="B3">
        <v>-1</v>
      </c>
      <c r="C3">
        <v>1</v>
      </c>
      <c r="D3">
        <v>0</v>
      </c>
      <c r="E3">
        <v>0</v>
      </c>
      <c r="F3">
        <v>0</v>
      </c>
    </row>
    <row r="4" spans="1:6" x14ac:dyDescent="0.35">
      <c r="A4" t="s">
        <v>2</v>
      </c>
      <c r="B4">
        <v>0</v>
      </c>
      <c r="C4">
        <v>-1</v>
      </c>
      <c r="D4">
        <v>1</v>
      </c>
      <c r="E4">
        <v>1</v>
      </c>
      <c r="F4">
        <v>1</v>
      </c>
    </row>
    <row r="5" spans="1:6" x14ac:dyDescent="0.35">
      <c r="A5" t="s">
        <v>3</v>
      </c>
      <c r="B5">
        <v>0</v>
      </c>
      <c r="C5">
        <v>0</v>
      </c>
      <c r="D5">
        <v>-1</v>
      </c>
      <c r="E5">
        <v>0</v>
      </c>
      <c r="F5">
        <v>0</v>
      </c>
    </row>
    <row r="6" spans="1:6" x14ac:dyDescent="0.35">
      <c r="A6" t="s">
        <v>4</v>
      </c>
      <c r="B6">
        <v>0</v>
      </c>
      <c r="C6">
        <v>0</v>
      </c>
      <c r="D6">
        <v>0</v>
      </c>
      <c r="E6">
        <v>-1</v>
      </c>
      <c r="F6">
        <v>0</v>
      </c>
    </row>
    <row r="7" spans="1:6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402D-2E70-4E37-A4E0-02E2A5B3A1E5}">
  <dimension ref="A1:G2"/>
  <sheetViews>
    <sheetView workbookViewId="0">
      <selection activeCell="E1" sqref="E1:G1"/>
    </sheetView>
  </sheetViews>
  <sheetFormatPr baseColWidth="10"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8B67-D602-46A5-B2B8-2F67DAE60F70}">
  <dimension ref="A1:F5"/>
  <sheetViews>
    <sheetView workbookViewId="0">
      <selection activeCell="D13" sqref="D13"/>
    </sheetView>
  </sheetViews>
  <sheetFormatPr baseColWidth="10" defaultRowHeight="14.5" x14ac:dyDescent="0.35"/>
  <cols>
    <col min="1" max="1" width="14.26953125" bestFit="1" customWidth="1"/>
  </cols>
  <sheetData>
    <row r="1" spans="1:6" x14ac:dyDescent="0.35"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16</v>
      </c>
      <c r="B2">
        <v>5.8900000000000001E-2</v>
      </c>
      <c r="C2">
        <v>5.8900000000000001E-2</v>
      </c>
      <c r="D2">
        <v>3.7600000000000001E-2</v>
      </c>
      <c r="E2">
        <v>3.0200000000000001E-2</v>
      </c>
      <c r="F2">
        <v>4.41E-2</v>
      </c>
    </row>
    <row r="3" spans="1:6" x14ac:dyDescent="0.35">
      <c r="A3" t="s">
        <v>17</v>
      </c>
      <c r="B3">
        <v>150</v>
      </c>
      <c r="C3">
        <v>150</v>
      </c>
      <c r="D3">
        <v>150</v>
      </c>
      <c r="E3">
        <v>150</v>
      </c>
      <c r="F3">
        <v>150</v>
      </c>
    </row>
    <row r="4" spans="1:6" x14ac:dyDescent="0.35">
      <c r="A4" t="s">
        <v>18</v>
      </c>
      <c r="B4">
        <f>0.35/(PI()*0.15)</f>
        <v>0.74272306776217822</v>
      </c>
      <c r="C4">
        <f>0.35/(PI()*0.15)</f>
        <v>0.74272306776217822</v>
      </c>
      <c r="D4">
        <f>0.35/(PI()*0.15)</f>
        <v>0.74272306776217822</v>
      </c>
      <c r="E4">
        <f>0.35/(PI()*0.15)</f>
        <v>0.74272306776217822</v>
      </c>
      <c r="F4">
        <f>0.35/(PI()*0.15)</f>
        <v>0.74272306776217822</v>
      </c>
    </row>
    <row r="5" spans="1:6" x14ac:dyDescent="0.35">
      <c r="A5" t="s">
        <v>19</v>
      </c>
      <c r="B5">
        <v>0.1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921F-FBC0-4AE5-B4C1-9602292846AE}">
  <dimension ref="A1:B7"/>
  <sheetViews>
    <sheetView workbookViewId="0">
      <selection activeCell="B7" sqref="B7"/>
    </sheetView>
  </sheetViews>
  <sheetFormatPr baseColWidth="10" defaultRowHeight="14.5" x14ac:dyDescent="0.35"/>
  <sheetData>
    <row r="1" spans="1:2" x14ac:dyDescent="0.35">
      <c r="B1" t="s">
        <v>1</v>
      </c>
    </row>
    <row r="2" spans="1:2" x14ac:dyDescent="0.35">
      <c r="A2" t="s">
        <v>20</v>
      </c>
      <c r="B2">
        <v>10</v>
      </c>
    </row>
    <row r="3" spans="1:2" x14ac:dyDescent="0.35">
      <c r="A3" t="s">
        <v>21</v>
      </c>
      <c r="B3">
        <v>354</v>
      </c>
    </row>
    <row r="4" spans="1:2" x14ac:dyDescent="0.35">
      <c r="A4" t="s">
        <v>22</v>
      </c>
      <c r="B4">
        <v>313</v>
      </c>
    </row>
    <row r="5" spans="1:2" x14ac:dyDescent="0.35">
      <c r="A5" t="s">
        <v>23</v>
      </c>
      <c r="B5">
        <f>2/10</f>
        <v>0.2</v>
      </c>
    </row>
    <row r="6" spans="1:2" x14ac:dyDescent="0.35">
      <c r="A6" t="s">
        <v>24</v>
      </c>
      <c r="B6">
        <v>15</v>
      </c>
    </row>
    <row r="7" spans="1:2" x14ac:dyDescent="0.35">
      <c r="A7" t="s">
        <v>25</v>
      </c>
      <c r="B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2C29-0B06-4CCD-B054-01979EC8A3C4}">
  <dimension ref="A1:B5"/>
  <sheetViews>
    <sheetView workbookViewId="0">
      <selection activeCell="D14" sqref="D14"/>
    </sheetView>
  </sheetViews>
  <sheetFormatPr baseColWidth="10" defaultRowHeight="14.5" x14ac:dyDescent="0.35"/>
  <sheetData>
    <row r="1" spans="1:2" x14ac:dyDescent="0.35">
      <c r="B1" t="s">
        <v>0</v>
      </c>
    </row>
    <row r="2" spans="1:2" x14ac:dyDescent="0.35">
      <c r="A2" t="s">
        <v>26</v>
      </c>
      <c r="B2" t="s">
        <v>27</v>
      </c>
    </row>
    <row r="3" spans="1:2" x14ac:dyDescent="0.35">
      <c r="A3" t="s">
        <v>28</v>
      </c>
      <c r="B3">
        <v>0.85</v>
      </c>
    </row>
    <row r="4" spans="1:2" x14ac:dyDescent="0.35">
      <c r="A4" t="s">
        <v>29</v>
      </c>
      <c r="B4">
        <v>2</v>
      </c>
    </row>
    <row r="5" spans="1:2" x14ac:dyDescent="0.35">
      <c r="A5" t="s">
        <v>30</v>
      </c>
      <c r="B5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6E18-7BC9-4B6D-A62A-A190D40F852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310A-53CE-461C-8DB8-7960D7F9C10F}">
  <dimension ref="A1"/>
  <sheetViews>
    <sheetView tabSelected="1" workbookViewId="0">
      <selection activeCell="P6" sqref="P6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Sheet_1</vt:lpstr>
      <vt:lpstr>Sheet_2</vt:lpstr>
      <vt:lpstr>Feuil3</vt:lpstr>
      <vt:lpstr>Feuil4</vt:lpstr>
      <vt:lpstr>Feuil5</vt:lpstr>
      <vt:lpstr>Feuil6</vt:lpstr>
      <vt:lpstr>Feuil7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Serrano Sepulveda</dc:creator>
  <cp:lastModifiedBy>Sergio Serrano Sepulveda</cp:lastModifiedBy>
  <dcterms:created xsi:type="dcterms:W3CDTF">2026-10-07T12:07:20Z</dcterms:created>
  <dcterms:modified xsi:type="dcterms:W3CDTF">2026-10-08T09:42:06Z</dcterms:modified>
</cp:coreProperties>
</file>